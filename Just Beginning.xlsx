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81C1AA28-6258-47F9-A8B8-28B9EC2CA216}" xr6:coauthVersionLast="43" xr6:coauthVersionMax="43" xr10:uidLastSave="{00000000-0000-0000-0000-000000000000}"/>
  <bookViews>
    <workbookView xWindow="-120" yWindow="-120" windowWidth="20730" windowHeight="11040" activeTab="1" xr2:uid="{0576CAB6-964F-48BF-BE1E-167AEA91D74C}"/>
  </bookViews>
  <sheets>
    <sheet name="Sheet9" sheetId="9" r:id="rId1"/>
    <sheet name="dashboard" sheetId="10" r:id="rId2"/>
    <sheet name="Sheet11" sheetId="11" r:id="rId3"/>
    <sheet name="Sheet12" sheetId="12" r:id="rId4"/>
    <sheet name="Sheet13" sheetId="13" r:id="rId5"/>
    <sheet name="Sheet1" sheetId="1" r:id="rId6"/>
  </sheets>
  <definedNames>
    <definedName name="Slicer_Camera_MP">#N/A</definedName>
    <definedName name="Slicer_RAM_GB">#N/A</definedName>
    <definedName name="Slicer_Rating">#N/A</definedName>
    <definedName name="Slicer_Sales_Units">#N/A</definedName>
  </definedNames>
  <calcPr calcId="191029"/>
  <pivotCaches>
    <pivotCache cacheId="3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N10" i="1" l="1"/>
  <c r="O8" i="1"/>
  <c r="P5" i="1"/>
  <c r="M5" i="1"/>
  <c r="M3" i="1"/>
  <c r="F11" i="9"/>
</calcChain>
</file>

<file path=xl/sharedStrings.xml><?xml version="1.0" encoding="utf-8"?>
<sst xmlns="http://schemas.openxmlformats.org/spreadsheetml/2006/main" count="84" uniqueCount="58">
  <si>
    <t>Brand</t>
  </si>
  <si>
    <t>Model</t>
  </si>
  <si>
    <t>Price_INR</t>
  </si>
  <si>
    <t>RAM_GB</t>
  </si>
  <si>
    <t>Storage_GB</t>
  </si>
  <si>
    <t>Battery_mAh</t>
  </si>
  <si>
    <t>Camera_MP</t>
  </si>
  <si>
    <t>Rating</t>
  </si>
  <si>
    <t>Sales_Units</t>
  </si>
  <si>
    <t>Launch_Year</t>
  </si>
  <si>
    <t>Samsung</t>
  </si>
  <si>
    <t>Galaxy S21</t>
  </si>
  <si>
    <t>Apple</t>
  </si>
  <si>
    <t>iPhone 13</t>
  </si>
  <si>
    <t>Xiaomi</t>
  </si>
  <si>
    <t>Redmi Note 11</t>
  </si>
  <si>
    <t>OnePlus</t>
  </si>
  <si>
    <t>Nord CE 2</t>
  </si>
  <si>
    <t>Realme</t>
  </si>
  <si>
    <t>Narzo 50</t>
  </si>
  <si>
    <t>Vivo</t>
  </si>
  <si>
    <t>V23</t>
  </si>
  <si>
    <t>Oppo</t>
  </si>
  <si>
    <t>Reno 7</t>
  </si>
  <si>
    <t>Motorola</t>
  </si>
  <si>
    <t>Edge 30</t>
  </si>
  <si>
    <t>Galaxy A52</t>
  </si>
  <si>
    <t>iPhone 12</t>
  </si>
  <si>
    <t>Poco X4 Pro</t>
  </si>
  <si>
    <t>10R</t>
  </si>
  <si>
    <t>GT Neo 3</t>
  </si>
  <si>
    <t>X80</t>
  </si>
  <si>
    <t>Find X5</t>
  </si>
  <si>
    <t>G82</t>
  </si>
  <si>
    <t>Galaxy S22</t>
  </si>
  <si>
    <t>iPhone 14</t>
  </si>
  <si>
    <t>Mi 11X</t>
  </si>
  <si>
    <t>Nord 2T</t>
  </si>
  <si>
    <t>C35</t>
  </si>
  <si>
    <t>Y75</t>
  </si>
  <si>
    <t>A76</t>
  </si>
  <si>
    <t>Edge 20</t>
  </si>
  <si>
    <t>Galaxy M32</t>
  </si>
  <si>
    <t>iPhone SE</t>
  </si>
  <si>
    <t>Redmi 10</t>
  </si>
  <si>
    <t>9RT</t>
  </si>
  <si>
    <t>Row Labels</t>
  </si>
  <si>
    <t>Grand Total</t>
  </si>
  <si>
    <t>Sum of Price_INR</t>
  </si>
  <si>
    <t>Sum of Battery_mAh</t>
  </si>
  <si>
    <t>Count of Sales_Units</t>
  </si>
  <si>
    <t>Count of RAM_GB</t>
  </si>
  <si>
    <t>Count of Battery_mAh</t>
  </si>
  <si>
    <t>Count of Camera_MP</t>
  </si>
  <si>
    <t>Count of Rating</t>
  </si>
  <si>
    <t>Count of Storage_GB</t>
  </si>
  <si>
    <t>Mobile Phone Sales 2025</t>
  </si>
  <si>
    <t xml:space="preserve">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</si>
</sst>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36"/>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1" fillId="2" borderId="0" xfId="0" applyFont="1" applyFill="1"/>
    <xf numFmtId="0" fontId="2" fillId="3"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[Just Beginning.xlsx]Sheet9!PivotTable10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Sum of Price_INR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c:f>
              <c:strCache>
                <c:ptCount val="1"/>
                <c:pt idx="0">
                  <c:v>Grand Total</c:v>
                </c:pt>
              </c:strCache>
            </c:strRef>
          </c:cat>
          <c:val>
            <c:numRef>
              <c:f>Sheet9!$B$4</c:f>
              <c:numCache>
                <c:formatCode>General</c:formatCode>
                <c:ptCount val="1"/>
              </c:numCache>
            </c:numRef>
          </c:val>
          <c:extLst>
            <c:ext xmlns:c16="http://schemas.microsoft.com/office/drawing/2014/chart" uri="{C3380CC4-5D6E-409C-BE32-E72D297353CC}">
              <c16:uniqueId val="{00000000-D24C-4269-B426-482D1E7ADD95}"/>
            </c:ext>
          </c:extLst>
        </c:ser>
        <c:ser>
          <c:idx val="1"/>
          <c:order val="1"/>
          <c:tx>
            <c:strRef>
              <c:f>Sheet9!$C$3</c:f>
              <c:strCache>
                <c:ptCount val="1"/>
                <c:pt idx="0">
                  <c:v>Count of Rating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c:f>
              <c:strCache>
                <c:ptCount val="1"/>
                <c:pt idx="0">
                  <c:v>Grand Total</c:v>
                </c:pt>
              </c:strCache>
            </c:strRef>
          </c:cat>
          <c:val>
            <c:numRef>
              <c:f>Sheet9!$C$4</c:f>
              <c:numCache>
                <c:formatCode>General</c:formatCode>
                <c:ptCount val="1"/>
              </c:numCache>
            </c:numRef>
          </c:val>
          <c:extLst>
            <c:ext xmlns:c16="http://schemas.microsoft.com/office/drawing/2014/chart" uri="{C3380CC4-5D6E-409C-BE32-E72D297353CC}">
              <c16:uniqueId val="{00000001-D24C-4269-B426-482D1E7ADD95}"/>
            </c:ext>
          </c:extLst>
        </c:ser>
        <c:dLbls>
          <c:showLegendKey val="0"/>
          <c:showVal val="0"/>
          <c:showCatName val="0"/>
          <c:showSerName val="0"/>
          <c:showPercent val="0"/>
          <c:showBubbleSize val="0"/>
        </c:dLbls>
        <c:gapWidth val="182"/>
        <c:axId val="561396408"/>
        <c:axId val="561389848"/>
      </c:barChart>
      <c:catAx>
        <c:axId val="561396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389848"/>
        <c:crosses val="autoZero"/>
        <c:auto val="1"/>
        <c:lblAlgn val="ctr"/>
        <c:lblOffset val="100"/>
        <c:noMultiLvlLbl val="0"/>
      </c:catAx>
      <c:valAx>
        <c:axId val="561389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396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[Just Beginning.xlsx]Sheet11!PivotTable11</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Count of Storage_GB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cat>
            <c:strRef>
              <c:f>Sheet11!$A$4</c:f>
              <c:strCache>
                <c:ptCount val="1"/>
                <c:pt idx="0">
                  <c:v>Grand Total</c:v>
                </c:pt>
              </c:strCache>
            </c:strRef>
          </c:cat>
          <c:val>
            <c:numRef>
              <c:f>Sheet11!$B$4</c:f>
              <c:numCache>
                <c:formatCode>General</c:formatCode>
                <c:ptCount val="1"/>
              </c:numCache>
            </c:numRef>
          </c:val>
          <c:extLst>
            <c:ext xmlns:c16="http://schemas.microsoft.com/office/drawing/2014/chart" uri="{C3380CC4-5D6E-409C-BE32-E72D297353CC}">
              <c16:uniqueId val="{00000000-64F6-47FB-A203-B3DB6D797314}"/>
            </c:ext>
          </c:extLst>
        </c:ser>
        <c:ser>
          <c:idx val="1"/>
          <c:order val="1"/>
          <c:tx>
            <c:strRef>
              <c:f>Sheet11!$C$3</c:f>
              <c:strCache>
                <c:ptCount val="1"/>
                <c:pt idx="0">
                  <c:v>Count of RAM_GB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Sheet11!$A$4</c:f>
              <c:strCache>
                <c:ptCount val="1"/>
                <c:pt idx="0">
                  <c:v>Grand Total</c:v>
                </c:pt>
              </c:strCache>
            </c:strRef>
          </c:cat>
          <c:val>
            <c:numRef>
              <c:f>Sheet11!$C$4</c:f>
              <c:numCache>
                <c:formatCode>General</c:formatCode>
                <c:ptCount val="1"/>
              </c:numCache>
            </c:numRef>
          </c:val>
          <c:extLst>
            <c:ext xmlns:c16="http://schemas.microsoft.com/office/drawing/2014/chart" uri="{C3380CC4-5D6E-409C-BE32-E72D297353CC}">
              <c16:uniqueId val="{00000001-64F6-47FB-A203-B3DB6D797314}"/>
            </c:ext>
          </c:extLst>
        </c:ser>
        <c:dLbls>
          <c:showLegendKey val="0"/>
          <c:showVal val="0"/>
          <c:showCatName val="0"/>
          <c:showSerName val="0"/>
          <c:showPercent val="0"/>
          <c:showBubbleSize val="0"/>
        </c:dLbls>
        <c:gapWidth val="115"/>
        <c:overlap val="-20"/>
        <c:axId val="571634296"/>
        <c:axId val="610055184"/>
      </c:barChart>
      <c:catAx>
        <c:axId val="5716342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0055184"/>
        <c:crosses val="autoZero"/>
        <c:auto val="1"/>
        <c:lblAlgn val="ctr"/>
        <c:lblOffset val="100"/>
        <c:noMultiLvlLbl val="0"/>
      </c:catAx>
      <c:valAx>
        <c:axId val="6100551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634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[Just Beginning.xlsx]Sheet12!PivotTable12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Count of Battery_mAh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Sheet12!$A$4</c:f>
              <c:strCache>
                <c:ptCount val="1"/>
                <c:pt idx="0">
                  <c:v>Grand Total</c:v>
                </c:pt>
              </c:strCache>
            </c:strRef>
          </c:cat>
          <c:val>
            <c:numRef>
              <c:f>Sheet12!$B$4</c:f>
              <c:numCache>
                <c:formatCode>General</c:formatCode>
                <c:ptCount val="1"/>
              </c:numCache>
            </c:numRef>
          </c:val>
          <c:extLst>
            <c:ext xmlns:c16="http://schemas.microsoft.com/office/drawing/2014/chart" uri="{C3380CC4-5D6E-409C-BE32-E72D297353CC}">
              <c16:uniqueId val="{00000000-9AB8-4E5D-973B-F6CD6CBB2047}"/>
            </c:ext>
          </c:extLst>
        </c:ser>
        <c:ser>
          <c:idx val="1"/>
          <c:order val="1"/>
          <c:tx>
            <c:strRef>
              <c:f>Sheet12!$C$3</c:f>
              <c:strCache>
                <c:ptCount val="1"/>
                <c:pt idx="0">
                  <c:v>Count of Camera_MP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Sheet12!$A$4</c:f>
              <c:strCache>
                <c:ptCount val="1"/>
                <c:pt idx="0">
                  <c:v>Grand Total</c:v>
                </c:pt>
              </c:strCache>
            </c:strRef>
          </c:cat>
          <c:val>
            <c:numRef>
              <c:f>Sheet12!$C$4</c:f>
              <c:numCache>
                <c:formatCode>General</c:formatCode>
                <c:ptCount val="1"/>
              </c:numCache>
            </c:numRef>
          </c:val>
          <c:extLst>
            <c:ext xmlns:c16="http://schemas.microsoft.com/office/drawing/2014/chart" uri="{C3380CC4-5D6E-409C-BE32-E72D297353CC}">
              <c16:uniqueId val="{00000001-9AB8-4E5D-973B-F6CD6CBB2047}"/>
            </c:ext>
          </c:extLst>
        </c:ser>
        <c:dLbls>
          <c:showLegendKey val="0"/>
          <c:showVal val="0"/>
          <c:showCatName val="0"/>
          <c:showSerName val="0"/>
          <c:showPercent val="0"/>
          <c:showBubbleSize val="0"/>
        </c:dLbls>
        <c:gapWidth val="115"/>
        <c:overlap val="-20"/>
        <c:axId val="377694376"/>
        <c:axId val="377696672"/>
      </c:barChart>
      <c:catAx>
        <c:axId val="377694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696672"/>
        <c:crosses val="autoZero"/>
        <c:auto val="1"/>
        <c:lblAlgn val="ctr"/>
        <c:lblOffset val="100"/>
        <c:noMultiLvlLbl val="0"/>
      </c:catAx>
      <c:valAx>
        <c:axId val="3776966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7694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[Just Beginning.xlsx]Sheet13!PivotTable13</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Sheet13!$B$3</c:f>
              <c:strCache>
                <c:ptCount val="1"/>
                <c:pt idx="0">
                  <c:v>Count of Sales_Units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Sheet13!$A$4</c:f>
              <c:strCache>
                <c:ptCount val="1"/>
                <c:pt idx="0">
                  <c:v>Grand Total</c:v>
                </c:pt>
              </c:strCache>
            </c:strRef>
          </c:cat>
          <c:val>
            <c:numRef>
              <c:f>Sheet13!$B$4</c:f>
              <c:numCache>
                <c:formatCode>General</c:formatCode>
                <c:ptCount val="1"/>
              </c:numCache>
            </c:numRef>
          </c:val>
          <c:extLst>
            <c:ext xmlns:c16="http://schemas.microsoft.com/office/drawing/2014/chart" uri="{C3380CC4-5D6E-409C-BE32-E72D297353CC}">
              <c16:uniqueId val="{00000000-3F08-4988-884D-93657A608851}"/>
            </c:ext>
          </c:extLst>
        </c:ser>
        <c:ser>
          <c:idx val="1"/>
          <c:order val="1"/>
          <c:tx>
            <c:strRef>
              <c:f>Sheet13!$C$3</c:f>
              <c:strCache>
                <c:ptCount val="1"/>
                <c:pt idx="0">
                  <c:v>Sum of Battery_mAh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Sheet13!$A$4</c:f>
              <c:strCache>
                <c:ptCount val="1"/>
                <c:pt idx="0">
                  <c:v>Grand Total</c:v>
                </c:pt>
              </c:strCache>
            </c:strRef>
          </c:cat>
          <c:val>
            <c:numRef>
              <c:f>Sheet13!$C$4</c:f>
              <c:numCache>
                <c:formatCode>General</c:formatCode>
                <c:ptCount val="1"/>
              </c:numCache>
            </c:numRef>
          </c:val>
          <c:extLst>
            <c:ext xmlns:c16="http://schemas.microsoft.com/office/drawing/2014/chart" uri="{C3380CC4-5D6E-409C-BE32-E72D297353CC}">
              <c16:uniqueId val="{00000001-3F08-4988-884D-93657A608851}"/>
            </c:ext>
          </c:extLst>
        </c:ser>
        <c:dLbls>
          <c:showLegendKey val="0"/>
          <c:showVal val="0"/>
          <c:showCatName val="0"/>
          <c:showSerName val="0"/>
          <c:showPercent val="0"/>
          <c:showBubbleSize val="0"/>
        </c:dLbls>
        <c:gapWidth val="115"/>
        <c:overlap val="-20"/>
        <c:axId val="382347152"/>
        <c:axId val="382347480"/>
      </c:barChart>
      <c:catAx>
        <c:axId val="38234715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347480"/>
        <c:crosses val="autoZero"/>
        <c:auto val="1"/>
        <c:lblAlgn val="ctr"/>
        <c:lblOffset val="100"/>
        <c:noMultiLvlLbl val="0"/>
      </c:catAx>
      <c:valAx>
        <c:axId val="3823474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34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590550</xdr:colOff>
      <xdr:row>15</xdr:row>
      <xdr:rowOff>57150</xdr:rowOff>
    </xdr:from>
    <xdr:to>
      <xdr:col>14</xdr:col>
      <xdr:colOff>219075</xdr:colOff>
      <xdr:row>23</xdr:row>
      <xdr:rowOff>114300</xdr:rowOff>
    </xdr:to>
    <xdr:graphicFrame macro="">
      <xdr:nvGraphicFramePr>
        <xdr:cNvPr id="2" name="Chart 1">
          <a:extLst>
            <a:ext uri="{FF2B5EF4-FFF2-40B4-BE49-F238E27FC236}">
              <a16:creationId xmlns:a16="http://schemas.microsoft.com/office/drawing/2014/main" id="{A410FA0F-BBE6-4DAE-A384-223D59802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200025</xdr:colOff>
      <xdr:row>7</xdr:row>
      <xdr:rowOff>38099</xdr:rowOff>
    </xdr:from>
    <xdr:to>
      <xdr:col>9</xdr:col>
      <xdr:colOff>495300</xdr:colOff>
      <xdr:row>15</xdr:row>
      <xdr:rowOff>0</xdr:rowOff>
    </xdr:to>
    <xdr:graphicFrame macro="">
      <xdr:nvGraphicFramePr>
        <xdr:cNvPr id="3" name="Chart 2">
          <a:extLst>
            <a:ext uri="{FF2B5EF4-FFF2-40B4-BE49-F238E27FC236}">
              <a16:creationId xmlns:a16="http://schemas.microsoft.com/office/drawing/2014/main" id="{140B24C2-BB27-4894-9807-9D3954E7D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561976</xdr:colOff>
      <xdr:row>6</xdr:row>
      <xdr:rowOff>180975</xdr:rowOff>
    </xdr:from>
    <xdr:to>
      <xdr:col>14</xdr:col>
      <xdr:colOff>200026</xdr:colOff>
      <xdr:row>14</xdr:row>
      <xdr:rowOff>123825</xdr:rowOff>
    </xdr:to>
    <xdr:graphicFrame macro="">
      <xdr:nvGraphicFramePr>
        <xdr:cNvPr id="4" name="Chart 3">
          <a:extLst>
            <a:ext uri="{FF2B5EF4-FFF2-40B4-BE49-F238E27FC236}">
              <a16:creationId xmlns:a16="http://schemas.microsoft.com/office/drawing/2014/main" id="{475C57A3-3D6D-4BB5-898D-C96B9AE62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15</xdr:row>
      <xdr:rowOff>47625</xdr:rowOff>
    </xdr:from>
    <xdr:to>
      <xdr:col>9</xdr:col>
      <xdr:colOff>447675</xdr:colOff>
      <xdr:row>23</xdr:row>
      <xdr:rowOff>104775</xdr:rowOff>
    </xdr:to>
    <xdr:graphicFrame macro="">
      <xdr:nvGraphicFramePr>
        <xdr:cNvPr id="5" name="Chart 4">
          <a:extLst>
            <a:ext uri="{FF2B5EF4-FFF2-40B4-BE49-F238E27FC236}">
              <a16:creationId xmlns:a16="http://schemas.microsoft.com/office/drawing/2014/main" id="{1647CC4A-967E-4CB2-81C2-53672843B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219075</xdr:colOff>
      <xdr:row>15</xdr:row>
      <xdr:rowOff>9524</xdr:rowOff>
    </xdr:from>
    <xdr:to>
      <xdr:col>16</xdr:col>
      <xdr:colOff>533400</xdr:colOff>
      <xdr:row>23</xdr:row>
      <xdr:rowOff>180975</xdr:rowOff>
    </xdr:to>
    <mc:AlternateContent xmlns:mc="http://schemas.openxmlformats.org/markup-compatibility/2006">
      <mc:Choice xmlns:a14="http://schemas.microsoft.com/office/drawing/2010/main" Requires="a14">
        <xdr:graphicFrame macro="">
          <xdr:nvGraphicFramePr>
            <xdr:cNvPr id="6" name="Camera_MP">
              <a:extLst>
                <a:ext uri="{FF2B5EF4-FFF2-40B4-BE49-F238E27FC236}">
                  <a16:creationId xmlns:a16="http://schemas.microsoft.com/office/drawing/2014/main" id="{9E7530B7-00FA-4B15-915F-E9AB2A625270}"/>
                </a:ext>
              </a:extLst>
            </xdr:cNvPr>
            <xdr:cNvGraphicFramePr/>
          </xdr:nvGraphicFramePr>
          <xdr:xfrm>
            <a:off x="0" y="0"/>
            <a:ext cx="0" cy="0"/>
          </xdr:xfrm>
          <a:graphic>
            <a:graphicData uri="http://schemas.microsoft.com/office/drawing/2010/slicer">
              <sle:slicer xmlns:sle="http://schemas.microsoft.com/office/drawing/2010/slicer" name="Camera_MP"/>
            </a:graphicData>
          </a:graphic>
        </xdr:graphicFrame>
      </mc:Choice>
      <mc:Fallback>
        <xdr:sp macro="" textlink="">
          <xdr:nvSpPr>
            <xdr:cNvPr id="0" name=""/>
            <xdr:cNvSpPr>
              <a:spLocks noTextEdit="1"/>
            </xdr:cNvSpPr>
          </xdr:nvSpPr>
          <xdr:spPr>
            <a:xfrm>
              <a:off x="8753475" y="2867024"/>
              <a:ext cx="1533525" cy="1695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5</xdr:row>
      <xdr:rowOff>66676</xdr:rowOff>
    </xdr:from>
    <xdr:to>
      <xdr:col>19</xdr:col>
      <xdr:colOff>323850</xdr:colOff>
      <xdr:row>14</xdr:row>
      <xdr:rowOff>123826</xdr:rowOff>
    </xdr:to>
    <mc:AlternateContent xmlns:mc="http://schemas.openxmlformats.org/markup-compatibility/2006">
      <mc:Choice xmlns:a14="http://schemas.microsoft.com/office/drawing/2010/main" Requires="a14">
        <xdr:graphicFrame macro="">
          <xdr:nvGraphicFramePr>
            <xdr:cNvPr id="7" name="Rating">
              <a:extLst>
                <a:ext uri="{FF2B5EF4-FFF2-40B4-BE49-F238E27FC236}">
                  <a16:creationId xmlns:a16="http://schemas.microsoft.com/office/drawing/2014/main" id="{94FA7268-2C70-481B-9AFA-58EE5A74BB1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0325100" y="1019176"/>
              <a:ext cx="158115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5</xdr:row>
      <xdr:rowOff>104775</xdr:rowOff>
    </xdr:from>
    <xdr:to>
      <xdr:col>16</xdr:col>
      <xdr:colOff>514350</xdr:colOff>
      <xdr:row>14</xdr:row>
      <xdr:rowOff>152400</xdr:rowOff>
    </xdr:to>
    <mc:AlternateContent xmlns:mc="http://schemas.openxmlformats.org/markup-compatibility/2006">
      <mc:Choice xmlns:a14="http://schemas.microsoft.com/office/drawing/2010/main" Requires="a14">
        <xdr:graphicFrame macro="">
          <xdr:nvGraphicFramePr>
            <xdr:cNvPr id="8" name="Sales_Units">
              <a:extLst>
                <a:ext uri="{FF2B5EF4-FFF2-40B4-BE49-F238E27FC236}">
                  <a16:creationId xmlns:a16="http://schemas.microsoft.com/office/drawing/2014/main" id="{15E3A91C-5F87-4ACF-BA1D-C73B7392A49C}"/>
                </a:ext>
              </a:extLst>
            </xdr:cNvPr>
            <xdr:cNvGraphicFramePr/>
          </xdr:nvGraphicFramePr>
          <xdr:xfrm>
            <a:off x="0" y="0"/>
            <a:ext cx="0" cy="0"/>
          </xdr:xfrm>
          <a:graphic>
            <a:graphicData uri="http://schemas.microsoft.com/office/drawing/2010/slicer">
              <sle:slicer xmlns:sle="http://schemas.microsoft.com/office/drawing/2010/slicer" name="Sales_Units"/>
            </a:graphicData>
          </a:graphic>
        </xdr:graphicFrame>
      </mc:Choice>
      <mc:Fallback>
        <xdr:sp macro="" textlink="">
          <xdr:nvSpPr>
            <xdr:cNvPr id="0" name=""/>
            <xdr:cNvSpPr>
              <a:spLocks noTextEdit="1"/>
            </xdr:cNvSpPr>
          </xdr:nvSpPr>
          <xdr:spPr>
            <a:xfrm>
              <a:off x="8801100" y="1057275"/>
              <a:ext cx="146685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590550</xdr:colOff>
      <xdr:row>14</xdr:row>
      <xdr:rowOff>180975</xdr:rowOff>
    </xdr:from>
    <xdr:to>
      <xdr:col>19</xdr:col>
      <xdr:colOff>371475</xdr:colOff>
      <xdr:row>24</xdr:row>
      <xdr:rowOff>95250</xdr:rowOff>
    </xdr:to>
    <mc:AlternateContent xmlns:mc="http://schemas.openxmlformats.org/markup-compatibility/2006">
      <mc:Choice xmlns:a14="http://schemas.microsoft.com/office/drawing/2010/main" Requires="a14">
        <xdr:graphicFrame macro="">
          <xdr:nvGraphicFramePr>
            <xdr:cNvPr id="9" name="RAM_GB">
              <a:extLst>
                <a:ext uri="{FF2B5EF4-FFF2-40B4-BE49-F238E27FC236}">
                  <a16:creationId xmlns:a16="http://schemas.microsoft.com/office/drawing/2014/main" id="{3FD3C7DF-61D2-4B09-A447-443C37C74768}"/>
                </a:ext>
              </a:extLst>
            </xdr:cNvPr>
            <xdr:cNvGraphicFramePr/>
          </xdr:nvGraphicFramePr>
          <xdr:xfrm>
            <a:off x="0" y="0"/>
            <a:ext cx="0" cy="0"/>
          </xdr:xfrm>
          <a:graphic>
            <a:graphicData uri="http://schemas.microsoft.com/office/drawing/2010/slicer">
              <sle:slicer xmlns:sle="http://schemas.microsoft.com/office/drawing/2010/slicer" name="RAM_GB"/>
            </a:graphicData>
          </a:graphic>
        </xdr:graphicFrame>
      </mc:Choice>
      <mc:Fallback>
        <xdr:sp macro="" textlink="">
          <xdr:nvSpPr>
            <xdr:cNvPr id="0" name=""/>
            <xdr:cNvSpPr>
              <a:spLocks noTextEdit="1"/>
            </xdr:cNvSpPr>
          </xdr:nvSpPr>
          <xdr:spPr>
            <a:xfrm>
              <a:off x="10344150" y="2847975"/>
              <a:ext cx="1609725"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142874</xdr:colOff>
      <xdr:row>6</xdr:row>
      <xdr:rowOff>142875</xdr:rowOff>
    </xdr:from>
    <xdr:to>
      <xdr:col>4</xdr:col>
      <xdr:colOff>561975</xdr:colOff>
      <xdr:row>9</xdr:row>
      <xdr:rowOff>123825</xdr:rowOff>
    </xdr:to>
    <xdr:sp macro="" textlink="">
      <xdr:nvSpPr>
        <xdr:cNvPr id="10" name="Rectangle: Single Corner Rounded 9">
          <a:extLst>
            <a:ext uri="{FF2B5EF4-FFF2-40B4-BE49-F238E27FC236}">
              <a16:creationId xmlns:a16="http://schemas.microsoft.com/office/drawing/2014/main" id="{FE04E9B9-981E-4D22-A60D-575BC430FED7}"/>
            </a:ext>
          </a:extLst>
        </xdr:cNvPr>
        <xdr:cNvSpPr/>
      </xdr:nvSpPr>
      <xdr:spPr>
        <a:xfrm>
          <a:off x="142874" y="1285875"/>
          <a:ext cx="2857501" cy="5524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t>Average RAM : 7GB</a:t>
          </a:r>
          <a:endParaRPr lang="en-IN" sz="1800"/>
        </a:p>
      </xdr:txBody>
    </xdr:sp>
    <xdr:clientData/>
  </xdr:twoCellAnchor>
  <xdr:twoCellAnchor>
    <xdr:from>
      <xdr:col>0</xdr:col>
      <xdr:colOff>114299</xdr:colOff>
      <xdr:row>10</xdr:row>
      <xdr:rowOff>180975</xdr:rowOff>
    </xdr:from>
    <xdr:to>
      <xdr:col>4</xdr:col>
      <xdr:colOff>533400</xdr:colOff>
      <xdr:row>13</xdr:row>
      <xdr:rowOff>161925</xdr:rowOff>
    </xdr:to>
    <xdr:sp macro="" textlink="">
      <xdr:nvSpPr>
        <xdr:cNvPr id="13" name="Rectangle: Single Corner Rounded 12">
          <a:extLst>
            <a:ext uri="{FF2B5EF4-FFF2-40B4-BE49-F238E27FC236}">
              <a16:creationId xmlns:a16="http://schemas.microsoft.com/office/drawing/2014/main" id="{00E2707B-0FAC-478C-AC33-F15F47AFE45B}"/>
            </a:ext>
          </a:extLst>
        </xdr:cNvPr>
        <xdr:cNvSpPr/>
      </xdr:nvSpPr>
      <xdr:spPr>
        <a:xfrm>
          <a:off x="114299" y="2085975"/>
          <a:ext cx="2857501" cy="5524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Top Rating: 4.7</a:t>
          </a:r>
        </a:p>
      </xdr:txBody>
    </xdr:sp>
    <xdr:clientData/>
  </xdr:twoCellAnchor>
  <xdr:twoCellAnchor>
    <xdr:from>
      <xdr:col>0</xdr:col>
      <xdr:colOff>95250</xdr:colOff>
      <xdr:row>14</xdr:row>
      <xdr:rowOff>161925</xdr:rowOff>
    </xdr:from>
    <xdr:to>
      <xdr:col>4</xdr:col>
      <xdr:colOff>514351</xdr:colOff>
      <xdr:row>17</xdr:row>
      <xdr:rowOff>142875</xdr:rowOff>
    </xdr:to>
    <xdr:sp macro="" textlink="">
      <xdr:nvSpPr>
        <xdr:cNvPr id="14" name="Rectangle: Single Corner Rounded 13">
          <a:extLst>
            <a:ext uri="{FF2B5EF4-FFF2-40B4-BE49-F238E27FC236}">
              <a16:creationId xmlns:a16="http://schemas.microsoft.com/office/drawing/2014/main" id="{901DC1A3-4516-4128-B8FF-7392AE8E1BC9}"/>
            </a:ext>
          </a:extLst>
        </xdr:cNvPr>
        <xdr:cNvSpPr/>
      </xdr:nvSpPr>
      <xdr:spPr>
        <a:xfrm>
          <a:off x="95250" y="2828925"/>
          <a:ext cx="2857501" cy="5524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t>Average Storage: 138 GB</a:t>
          </a:r>
          <a:endParaRPr lang="en-IN" sz="1800"/>
        </a:p>
      </xdr:txBody>
    </xdr:sp>
    <xdr:clientData/>
  </xdr:twoCellAnchor>
  <xdr:twoCellAnchor>
    <xdr:from>
      <xdr:col>0</xdr:col>
      <xdr:colOff>123825</xdr:colOff>
      <xdr:row>19</xdr:row>
      <xdr:rowOff>19050</xdr:rowOff>
    </xdr:from>
    <xdr:to>
      <xdr:col>4</xdr:col>
      <xdr:colOff>542926</xdr:colOff>
      <xdr:row>22</xdr:row>
      <xdr:rowOff>0</xdr:rowOff>
    </xdr:to>
    <xdr:sp macro="" textlink="">
      <xdr:nvSpPr>
        <xdr:cNvPr id="15" name="Rectangle: Single Corner Rounded 14">
          <a:extLst>
            <a:ext uri="{FF2B5EF4-FFF2-40B4-BE49-F238E27FC236}">
              <a16:creationId xmlns:a16="http://schemas.microsoft.com/office/drawing/2014/main" id="{6D1EA400-ACDC-4103-90EA-6670C039DA6F}"/>
            </a:ext>
          </a:extLst>
        </xdr:cNvPr>
        <xdr:cNvSpPr/>
      </xdr:nvSpPr>
      <xdr:spPr>
        <a:xfrm>
          <a:off x="123825" y="3638550"/>
          <a:ext cx="2857501" cy="5524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t>Average Battery: 4381</a:t>
          </a:r>
          <a:endParaRPr lang="en-IN" sz="1800"/>
        </a:p>
      </xdr:txBody>
    </xdr:sp>
    <xdr:clientData/>
  </xdr:twoCellAnchor>
  <xdr:twoCellAnchor>
    <xdr:from>
      <xdr:col>2</xdr:col>
      <xdr:colOff>409575</xdr:colOff>
      <xdr:row>11</xdr:row>
      <xdr:rowOff>57150</xdr:rowOff>
    </xdr:from>
    <xdr:to>
      <xdr:col>3</xdr:col>
      <xdr:colOff>142875</xdr:colOff>
      <xdr:row>12</xdr:row>
      <xdr:rowOff>104775</xdr:rowOff>
    </xdr:to>
    <xdr:sp macro="" textlink="">
      <xdr:nvSpPr>
        <xdr:cNvPr id="16" name="Star: 5 Points 15">
          <a:extLst>
            <a:ext uri="{FF2B5EF4-FFF2-40B4-BE49-F238E27FC236}">
              <a16:creationId xmlns:a16="http://schemas.microsoft.com/office/drawing/2014/main" id="{AF615B04-E8D1-44FD-B482-671442BA7112}"/>
            </a:ext>
          </a:extLst>
        </xdr:cNvPr>
        <xdr:cNvSpPr/>
      </xdr:nvSpPr>
      <xdr:spPr>
        <a:xfrm>
          <a:off x="1628775" y="2152650"/>
          <a:ext cx="342900" cy="238125"/>
        </a:xfrm>
        <a:prstGeom prst="star5">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161924</xdr:colOff>
      <xdr:row>2</xdr:row>
      <xdr:rowOff>133350</xdr:rowOff>
    </xdr:from>
    <xdr:to>
      <xdr:col>4</xdr:col>
      <xdr:colOff>581025</xdr:colOff>
      <xdr:row>5</xdr:row>
      <xdr:rowOff>114300</xdr:rowOff>
    </xdr:to>
    <xdr:sp macro="" textlink="">
      <xdr:nvSpPr>
        <xdr:cNvPr id="17" name="Rectangle: Single Corner Rounded 16">
          <a:extLst>
            <a:ext uri="{FF2B5EF4-FFF2-40B4-BE49-F238E27FC236}">
              <a16:creationId xmlns:a16="http://schemas.microsoft.com/office/drawing/2014/main" id="{4FB1CAD7-4CFC-4650-BDEB-304B5C2B766E}"/>
            </a:ext>
          </a:extLst>
        </xdr:cNvPr>
        <xdr:cNvSpPr/>
      </xdr:nvSpPr>
      <xdr:spPr>
        <a:xfrm>
          <a:off x="161924" y="514350"/>
          <a:ext cx="2857501" cy="5524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t>Average Sales : 36k</a:t>
          </a:r>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5.475367361112" createdVersion="6" refreshedVersion="6" minRefreshableVersion="3" recordCount="28" xr:uid="{36DB0D5F-4909-4971-B557-741E9875BAD4}">
  <cacheSource type="worksheet">
    <worksheetSource ref="A1:J29" sheet="Sheet1"/>
  </cacheSource>
  <cacheFields count="10">
    <cacheField name="Brand" numFmtId="0">
      <sharedItems count="8">
        <s v="Samsung"/>
        <s v="Apple"/>
        <s v="Xiaomi"/>
        <s v="OnePlus"/>
        <s v="Realme"/>
        <s v="Vivo"/>
        <s v="Oppo"/>
        <s v="Motorola"/>
      </sharedItems>
    </cacheField>
    <cacheField name="Model" numFmtId="0">
      <sharedItems count="28">
        <s v="Galaxy S21"/>
        <s v="iPhone 13"/>
        <s v="Redmi Note 11"/>
        <s v="Nord CE 2"/>
        <s v="Narzo 50"/>
        <s v="V23"/>
        <s v="Reno 7"/>
        <s v="Edge 30"/>
        <s v="Galaxy A52"/>
        <s v="iPhone 12"/>
        <s v="Poco X4 Pro"/>
        <s v="10R"/>
        <s v="GT Neo 3"/>
        <s v="X80"/>
        <s v="Find X5"/>
        <s v="G82"/>
        <s v="Galaxy S22"/>
        <s v="iPhone 14"/>
        <s v="Mi 11X"/>
        <s v="Nord 2T"/>
        <s v="C35"/>
        <s v="Y75"/>
        <s v="A76"/>
        <s v="Edge 20"/>
        <s v="Galaxy M32"/>
        <s v="iPhone SE"/>
        <s v="Redmi 10"/>
        <s v="9RT"/>
      </sharedItems>
    </cacheField>
    <cacheField name="Price_INR" numFmtId="0">
      <sharedItems containsSemiMixedTypes="0" containsString="0" containsNumber="1" containsInteger="1" minValue="10999" maxValue="89999"/>
    </cacheField>
    <cacheField name="RAM_GB" numFmtId="0">
      <sharedItems containsSemiMixedTypes="0" containsString="0" containsNumber="1" containsInteger="1" minValue="4" maxValue="12" count="4">
        <n v="8"/>
        <n v="6"/>
        <n v="4"/>
        <n v="12"/>
      </sharedItems>
    </cacheField>
    <cacheField name="Storage_GB" numFmtId="0">
      <sharedItems containsSemiMixedTypes="0" containsString="0" containsNumber="1" containsInteger="1" minValue="64" maxValue="256"/>
    </cacheField>
    <cacheField name="Battery_mAh" numFmtId="0">
      <sharedItems containsSemiMixedTypes="0" containsString="0" containsNumber="1" containsInteger="1" minValue="2018" maxValue="6000"/>
    </cacheField>
    <cacheField name="Camera_MP" numFmtId="0">
      <sharedItems containsSemiMixedTypes="0" containsString="0" containsNumber="1" containsInteger="1" minValue="12" maxValue="108" count="6">
        <n v="64"/>
        <n v="12"/>
        <n v="50"/>
        <n v="48"/>
        <n v="13"/>
        <n v="108"/>
      </sharedItems>
    </cacheField>
    <cacheField name="Rating" numFmtId="0">
      <sharedItems containsSemiMixedTypes="0" containsString="0" containsNumber="1" minValue="4.0999999999999996" maxValue="4.7" count="7">
        <n v="4.5"/>
        <n v="4.7"/>
        <n v="4.3"/>
        <n v="4.4000000000000004"/>
        <n v="4.2"/>
        <n v="4.5999999999999996"/>
        <n v="4.0999999999999996"/>
      </sharedItems>
    </cacheField>
    <cacheField name="Sales_Units" numFmtId="0">
      <sharedItems containsSemiMixedTypes="0" containsString="0" containsNumber="1" containsInteger="1" minValue="8000" maxValue="35000" count="20">
        <n v="15000"/>
        <n v="20000"/>
        <n v="35000"/>
        <n v="18000"/>
        <n v="22000"/>
        <n v="16000"/>
        <n v="14000"/>
        <n v="12000"/>
        <n v="19000"/>
        <n v="17000"/>
        <n v="25000"/>
        <n v="13000"/>
        <n v="11000"/>
        <n v="9000"/>
        <n v="8000"/>
        <n v="10000"/>
        <n v="21000"/>
        <n v="30000"/>
        <n v="27000"/>
        <n v="32000"/>
      </sharedItems>
    </cacheField>
    <cacheField name="Launch_Year" numFmtId="0">
      <sharedItems containsString="0" containsBlank="1" containsNumber="1" containsInteger="1" minValue="2020" maxValue="2022"/>
    </cacheField>
  </cacheFields>
  <extLst>
    <ext xmlns:x14="http://schemas.microsoft.com/office/spreadsheetml/2009/9/main" uri="{725AE2AE-9491-48be-B2B4-4EB974FC3084}">
      <x14:pivotCacheDefinition pivotCacheId="672700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69999"/>
    <x v="0"/>
    <n v="128"/>
    <n v="4000"/>
    <x v="0"/>
    <x v="0"/>
    <x v="0"/>
    <n v="2021"/>
  </r>
  <r>
    <x v="1"/>
    <x v="1"/>
    <n v="79999"/>
    <x v="1"/>
    <n v="128"/>
    <n v="3240"/>
    <x v="1"/>
    <x v="1"/>
    <x v="1"/>
    <n v="2021"/>
  </r>
  <r>
    <x v="2"/>
    <x v="2"/>
    <n v="14999"/>
    <x v="1"/>
    <n v="128"/>
    <n v="5000"/>
    <x v="2"/>
    <x v="2"/>
    <x v="2"/>
    <n v="2022"/>
  </r>
  <r>
    <x v="3"/>
    <x v="3"/>
    <n v="24999"/>
    <x v="0"/>
    <n v="128"/>
    <n v="4500"/>
    <x v="0"/>
    <x v="3"/>
    <x v="3"/>
    <n v="2022"/>
  </r>
  <r>
    <x v="4"/>
    <x v="4"/>
    <n v="12999"/>
    <x v="2"/>
    <n v="64"/>
    <n v="5000"/>
    <x v="2"/>
    <x v="4"/>
    <x v="4"/>
    <n v="2022"/>
  </r>
  <r>
    <x v="5"/>
    <x v="5"/>
    <n v="29999"/>
    <x v="0"/>
    <n v="128"/>
    <n v="4200"/>
    <x v="0"/>
    <x v="2"/>
    <x v="5"/>
    <n v="2022"/>
  </r>
  <r>
    <x v="6"/>
    <x v="6"/>
    <n v="28999"/>
    <x v="0"/>
    <n v="128"/>
    <n v="4500"/>
    <x v="0"/>
    <x v="3"/>
    <x v="6"/>
    <n v="2022"/>
  </r>
  <r>
    <x v="7"/>
    <x v="7"/>
    <n v="27999"/>
    <x v="0"/>
    <n v="128"/>
    <n v="4020"/>
    <x v="2"/>
    <x v="2"/>
    <x v="7"/>
    <n v="2022"/>
  </r>
  <r>
    <x v="0"/>
    <x v="8"/>
    <n v="25999"/>
    <x v="1"/>
    <n v="128"/>
    <n v="4500"/>
    <x v="0"/>
    <x v="3"/>
    <x v="8"/>
    <n v="2021"/>
  </r>
  <r>
    <x v="1"/>
    <x v="9"/>
    <n v="59999"/>
    <x v="2"/>
    <n v="128"/>
    <n v="2815"/>
    <x v="1"/>
    <x v="5"/>
    <x v="9"/>
    <n v="2020"/>
  </r>
  <r>
    <x v="2"/>
    <x v="10"/>
    <n v="18999"/>
    <x v="1"/>
    <n v="128"/>
    <n v="5000"/>
    <x v="0"/>
    <x v="2"/>
    <x v="10"/>
    <n v="2022"/>
  </r>
  <r>
    <x v="3"/>
    <x v="11"/>
    <n v="38999"/>
    <x v="3"/>
    <n v="256"/>
    <n v="5000"/>
    <x v="2"/>
    <x v="0"/>
    <x v="11"/>
    <n v="2022"/>
  </r>
  <r>
    <x v="4"/>
    <x v="12"/>
    <n v="36999"/>
    <x v="0"/>
    <n v="256"/>
    <n v="5000"/>
    <x v="2"/>
    <x v="3"/>
    <x v="12"/>
    <n v="2022"/>
  </r>
  <r>
    <x v="5"/>
    <x v="13"/>
    <n v="54999"/>
    <x v="0"/>
    <n v="128"/>
    <n v="4500"/>
    <x v="2"/>
    <x v="0"/>
    <x v="13"/>
    <n v="2022"/>
  </r>
  <r>
    <x v="6"/>
    <x v="14"/>
    <n v="65999"/>
    <x v="0"/>
    <n v="256"/>
    <n v="4800"/>
    <x v="2"/>
    <x v="5"/>
    <x v="14"/>
    <n v="2022"/>
  </r>
  <r>
    <x v="7"/>
    <x v="15"/>
    <n v="21999"/>
    <x v="1"/>
    <n v="128"/>
    <n v="5000"/>
    <x v="2"/>
    <x v="2"/>
    <x v="6"/>
    <n v="2022"/>
  </r>
  <r>
    <x v="0"/>
    <x v="16"/>
    <n v="72999"/>
    <x v="0"/>
    <n v="256"/>
    <n v="3700"/>
    <x v="2"/>
    <x v="5"/>
    <x v="15"/>
    <n v="2022"/>
  </r>
  <r>
    <x v="1"/>
    <x v="17"/>
    <n v="89999"/>
    <x v="1"/>
    <n v="128"/>
    <n v="3279"/>
    <x v="1"/>
    <x v="1"/>
    <x v="16"/>
    <n v="2022"/>
  </r>
  <r>
    <x v="2"/>
    <x v="18"/>
    <n v="29999"/>
    <x v="0"/>
    <n v="128"/>
    <n v="4520"/>
    <x v="3"/>
    <x v="3"/>
    <x v="0"/>
    <n v="2021"/>
  </r>
  <r>
    <x v="3"/>
    <x v="19"/>
    <n v="28999"/>
    <x v="0"/>
    <n v="128"/>
    <n v="4500"/>
    <x v="2"/>
    <x v="3"/>
    <x v="5"/>
    <n v="2022"/>
  </r>
  <r>
    <x v="4"/>
    <x v="20"/>
    <n v="11999"/>
    <x v="2"/>
    <n v="64"/>
    <n v="5000"/>
    <x v="2"/>
    <x v="6"/>
    <x v="17"/>
    <n v="2022"/>
  </r>
  <r>
    <x v="5"/>
    <x v="21"/>
    <n v="20999"/>
    <x v="0"/>
    <n v="128"/>
    <n v="4050"/>
    <x v="2"/>
    <x v="4"/>
    <x v="9"/>
    <n v="2022"/>
  </r>
  <r>
    <x v="6"/>
    <x v="22"/>
    <n v="17999"/>
    <x v="1"/>
    <n v="128"/>
    <n v="5000"/>
    <x v="4"/>
    <x v="6"/>
    <x v="8"/>
    <n v="2022"/>
  </r>
  <r>
    <x v="7"/>
    <x v="23"/>
    <n v="29999"/>
    <x v="0"/>
    <n v="128"/>
    <n v="4000"/>
    <x v="5"/>
    <x v="2"/>
    <x v="15"/>
    <n v="2021"/>
  </r>
  <r>
    <x v="0"/>
    <x v="24"/>
    <n v="14999"/>
    <x v="1"/>
    <n v="128"/>
    <n v="6000"/>
    <x v="0"/>
    <x v="4"/>
    <x v="18"/>
    <n v="2021"/>
  </r>
  <r>
    <x v="1"/>
    <x v="25"/>
    <n v="39999"/>
    <x v="2"/>
    <n v="64"/>
    <n v="2018"/>
    <x v="1"/>
    <x v="2"/>
    <x v="13"/>
    <n v="2022"/>
  </r>
  <r>
    <x v="2"/>
    <x v="26"/>
    <n v="10999"/>
    <x v="2"/>
    <n v="64"/>
    <n v="5000"/>
    <x v="2"/>
    <x v="6"/>
    <x v="19"/>
    <n v="2021"/>
  </r>
  <r>
    <x v="3"/>
    <x v="27"/>
    <n v="42999"/>
    <x v="0"/>
    <n v="128"/>
    <n v="4500"/>
    <x v="2"/>
    <x v="0"/>
    <x v="1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9E9E68-8392-408B-9342-5348889F5444}" name="PivotTable10"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4" firstHeaderRow="0" firstDataRow="1" firstDataCol="1"/>
  <pivotFields count="10">
    <pivotField axis="axisRow" showAll="0">
      <items count="9">
        <item x="1"/>
        <item x="7"/>
        <item x="3"/>
        <item x="6"/>
        <item x="4"/>
        <item x="0"/>
        <item x="5"/>
        <item x="2"/>
        <item t="default"/>
      </items>
    </pivotField>
    <pivotField showAll="0"/>
    <pivotField dataField="1" showAll="0"/>
    <pivotField showAll="0">
      <items count="5">
        <item h="1" x="2"/>
        <item h="1" x="1"/>
        <item h="1" x="0"/>
        <item x="3"/>
        <item t="default"/>
      </items>
    </pivotField>
    <pivotField showAll="0"/>
    <pivotField showAll="0"/>
    <pivotField showAll="0">
      <items count="7">
        <item x="1"/>
        <item x="4"/>
        <item x="3"/>
        <item x="2"/>
        <item x="0"/>
        <item x="5"/>
        <item t="default"/>
      </items>
    </pivotField>
    <pivotField dataField="1" showAll="0">
      <items count="8">
        <item x="6"/>
        <item x="4"/>
        <item x="2"/>
        <item x="3"/>
        <item x="0"/>
        <item x="5"/>
        <item x="1"/>
        <item t="default"/>
      </items>
    </pivotField>
    <pivotField showAll="0">
      <items count="21">
        <item h="1" x="14"/>
        <item x="13"/>
        <item h="1" x="15"/>
        <item h="1" x="12"/>
        <item h="1" x="7"/>
        <item h="1" x="11"/>
        <item h="1" x="6"/>
        <item h="1" x="0"/>
        <item h="1" x="5"/>
        <item h="1" x="9"/>
        <item h="1" x="3"/>
        <item h="1" x="8"/>
        <item h="1" x="1"/>
        <item h="1" x="16"/>
        <item h="1" x="4"/>
        <item h="1" x="10"/>
        <item h="1" x="18"/>
        <item h="1" x="17"/>
        <item h="1" x="19"/>
        <item h="1" x="2"/>
        <item t="default"/>
      </items>
    </pivotField>
    <pivotField showAll="0"/>
  </pivotFields>
  <rowFields count="1">
    <field x="0"/>
  </rowFields>
  <rowItems count="1">
    <i t="grand">
      <x/>
    </i>
  </rowItems>
  <colFields count="1">
    <field x="-2"/>
  </colFields>
  <colItems count="2">
    <i>
      <x/>
    </i>
    <i i="1">
      <x v="1"/>
    </i>
  </colItems>
  <dataFields count="2">
    <dataField name="Sum of Price_INR" fld="2" baseField="0" baseItem="0"/>
    <dataField name="Count of Rating" fld="7"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901A5-817B-4E4D-B071-BC8451CC2F6B}" name="PivotTable11"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4" firstHeaderRow="0" firstDataRow="1" firstDataCol="1"/>
  <pivotFields count="10">
    <pivotField axis="axisRow" showAll="0">
      <items count="9">
        <item x="1"/>
        <item x="7"/>
        <item x="3"/>
        <item x="6"/>
        <item x="4"/>
        <item x="0"/>
        <item x="5"/>
        <item x="2"/>
        <item t="default"/>
      </items>
    </pivotField>
    <pivotField showAll="0"/>
    <pivotField showAll="0"/>
    <pivotField dataField="1" showAll="0">
      <items count="5">
        <item h="1" x="2"/>
        <item h="1" x="1"/>
        <item h="1" x="0"/>
        <item x="3"/>
        <item t="default"/>
      </items>
    </pivotField>
    <pivotField dataField="1" showAll="0"/>
    <pivotField showAll="0"/>
    <pivotField showAll="0">
      <items count="7">
        <item x="1"/>
        <item x="4"/>
        <item x="3"/>
        <item x="2"/>
        <item x="0"/>
        <item x="5"/>
        <item t="default"/>
      </items>
    </pivotField>
    <pivotField showAll="0">
      <items count="8">
        <item x="6"/>
        <item x="4"/>
        <item x="2"/>
        <item x="3"/>
        <item x="0"/>
        <item x="5"/>
        <item x="1"/>
        <item t="default"/>
      </items>
    </pivotField>
    <pivotField showAll="0">
      <items count="21">
        <item h="1" x="14"/>
        <item x="13"/>
        <item h="1" x="15"/>
        <item h="1" x="12"/>
        <item h="1" x="7"/>
        <item h="1" x="11"/>
        <item h="1" x="6"/>
        <item h="1" x="0"/>
        <item h="1" x="5"/>
        <item h="1" x="9"/>
        <item h="1" x="3"/>
        <item h="1" x="8"/>
        <item h="1" x="1"/>
        <item h="1" x="16"/>
        <item h="1" x="4"/>
        <item h="1" x="10"/>
        <item h="1" x="18"/>
        <item h="1" x="17"/>
        <item h="1" x="19"/>
        <item h="1" x="2"/>
        <item t="default"/>
      </items>
    </pivotField>
    <pivotField showAll="0"/>
  </pivotFields>
  <rowFields count="1">
    <field x="0"/>
  </rowFields>
  <rowItems count="1">
    <i t="grand">
      <x/>
    </i>
  </rowItems>
  <colFields count="1">
    <field x="-2"/>
  </colFields>
  <colItems count="2">
    <i>
      <x/>
    </i>
    <i i="1">
      <x v="1"/>
    </i>
  </colItems>
  <dataFields count="2">
    <dataField name="Count of Storage_GB" fld="4" subtotal="count" baseField="0" baseItem="0"/>
    <dataField name="Count of RAM_GB" fld="3"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3FFA4B-2602-441F-A0DB-9F0446183039}" name="PivotTable12"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C4" firstHeaderRow="0" firstDataRow="1" firstDataCol="1"/>
  <pivotFields count="10">
    <pivotField axis="axisRow" showAll="0">
      <items count="9">
        <item x="1"/>
        <item x="7"/>
        <item x="3"/>
        <item x="6"/>
        <item x="4"/>
        <item x="0"/>
        <item x="5"/>
        <item x="2"/>
        <item t="default"/>
      </items>
    </pivotField>
    <pivotField showAll="0"/>
    <pivotField showAll="0"/>
    <pivotField showAll="0">
      <items count="5">
        <item h="1" x="2"/>
        <item h="1" x="1"/>
        <item h="1" x="0"/>
        <item x="3"/>
        <item t="default"/>
      </items>
    </pivotField>
    <pivotField showAll="0"/>
    <pivotField dataField="1" showAll="0"/>
    <pivotField dataField="1" showAll="0">
      <items count="7">
        <item x="1"/>
        <item x="4"/>
        <item x="3"/>
        <item x="2"/>
        <item x="0"/>
        <item x="5"/>
        <item t="default"/>
      </items>
    </pivotField>
    <pivotField showAll="0">
      <items count="8">
        <item x="6"/>
        <item x="4"/>
        <item x="2"/>
        <item x="3"/>
        <item x="0"/>
        <item x="5"/>
        <item x="1"/>
        <item t="default"/>
      </items>
    </pivotField>
    <pivotField showAll="0">
      <items count="21">
        <item h="1" x="14"/>
        <item x="13"/>
        <item h="1" x="15"/>
        <item h="1" x="12"/>
        <item h="1" x="7"/>
        <item h="1" x="11"/>
        <item h="1" x="6"/>
        <item h="1" x="0"/>
        <item h="1" x="5"/>
        <item h="1" x="9"/>
        <item h="1" x="3"/>
        <item h="1" x="8"/>
        <item h="1" x="1"/>
        <item h="1" x="16"/>
        <item h="1" x="4"/>
        <item h="1" x="10"/>
        <item h="1" x="18"/>
        <item h="1" x="17"/>
        <item h="1" x="19"/>
        <item h="1" x="2"/>
        <item t="default"/>
      </items>
    </pivotField>
    <pivotField showAll="0"/>
  </pivotFields>
  <rowFields count="1">
    <field x="0"/>
  </rowFields>
  <rowItems count="1">
    <i t="grand">
      <x/>
    </i>
  </rowItems>
  <colFields count="1">
    <field x="-2"/>
  </colFields>
  <colItems count="2">
    <i>
      <x/>
    </i>
    <i i="1">
      <x v="1"/>
    </i>
  </colItems>
  <dataFields count="2">
    <dataField name="Count of Battery_mAh" fld="5" subtotal="count" baseField="0" baseItem="0"/>
    <dataField name="Count of Camera_MP" fld="6" subtotal="count"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C8F6ED-D742-459C-AC16-F38115C534B6}" name="PivotTable13"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C4" firstHeaderRow="0" firstDataRow="1" firstDataCol="1"/>
  <pivotFields count="10">
    <pivotField axis="axisRow" showAll="0">
      <items count="9">
        <item x="1"/>
        <item x="7"/>
        <item x="3"/>
        <item x="6"/>
        <item x="4"/>
        <item x="0"/>
        <item x="5"/>
        <item x="2"/>
        <item t="default"/>
      </items>
    </pivotField>
    <pivotField showAll="0">
      <items count="29">
        <item x="11"/>
        <item x="27"/>
        <item x="22"/>
        <item x="20"/>
        <item x="23"/>
        <item x="7"/>
        <item x="14"/>
        <item x="15"/>
        <item x="8"/>
        <item x="24"/>
        <item x="0"/>
        <item x="16"/>
        <item x="12"/>
        <item x="9"/>
        <item x="1"/>
        <item x="17"/>
        <item x="25"/>
        <item x="18"/>
        <item x="4"/>
        <item x="19"/>
        <item x="3"/>
        <item x="10"/>
        <item x="26"/>
        <item x="2"/>
        <item x="6"/>
        <item x="5"/>
        <item x="13"/>
        <item x="21"/>
        <item t="default"/>
      </items>
    </pivotField>
    <pivotField showAll="0"/>
    <pivotField showAll="0">
      <items count="5">
        <item h="1" x="2"/>
        <item h="1" x="1"/>
        <item h="1" x="0"/>
        <item x="3"/>
        <item t="default"/>
      </items>
    </pivotField>
    <pivotField showAll="0"/>
    <pivotField dataField="1" showAll="0"/>
    <pivotField showAll="0">
      <items count="7">
        <item x="1"/>
        <item x="4"/>
        <item x="3"/>
        <item x="2"/>
        <item x="0"/>
        <item x="5"/>
        <item t="default"/>
      </items>
    </pivotField>
    <pivotField showAll="0">
      <items count="8">
        <item x="6"/>
        <item x="4"/>
        <item x="2"/>
        <item x="3"/>
        <item x="0"/>
        <item x="5"/>
        <item x="1"/>
        <item t="default"/>
      </items>
    </pivotField>
    <pivotField dataField="1" showAll="0">
      <items count="21">
        <item h="1" x="14"/>
        <item x="13"/>
        <item h="1" x="15"/>
        <item h="1" x="12"/>
        <item h="1" x="7"/>
        <item h="1" x="11"/>
        <item h="1" x="6"/>
        <item h="1" x="0"/>
        <item h="1" x="5"/>
        <item h="1" x="9"/>
        <item h="1" x="3"/>
        <item h="1" x="8"/>
        <item h="1" x="1"/>
        <item h="1" x="16"/>
        <item h="1" x="4"/>
        <item h="1" x="10"/>
        <item h="1" x="18"/>
        <item h="1" x="17"/>
        <item h="1" x="19"/>
        <item h="1" x="2"/>
        <item t="default"/>
      </items>
    </pivotField>
    <pivotField showAll="0"/>
  </pivotFields>
  <rowFields count="1">
    <field x="0"/>
  </rowFields>
  <rowItems count="1">
    <i t="grand">
      <x/>
    </i>
  </rowItems>
  <colFields count="1">
    <field x="-2"/>
  </colFields>
  <colItems count="2">
    <i>
      <x/>
    </i>
    <i i="1">
      <x v="1"/>
    </i>
  </colItems>
  <dataFields count="2">
    <dataField name="Count of Sales_Units" fld="8" subtotal="count" baseField="0" baseItem="0"/>
    <dataField name="Sum of Battery_mAh" fld="5" baseField="0" baseItem="0"/>
  </dataField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era_MP" xr10:uid="{59A68A04-4A44-481E-8974-9AD507594268}" sourceName="Camera_MP">
  <pivotTables>
    <pivotTable tabId="11" name="PivotTable11"/>
    <pivotTable tabId="12" name="PivotTable12"/>
    <pivotTable tabId="13" name="PivotTable13"/>
    <pivotTable tabId="9" name="PivotTable10"/>
  </pivotTables>
  <data>
    <tabular pivotCacheId="672700826">
      <items count="6">
        <i x="1" s="1" nd="1"/>
        <i x="4" s="1" nd="1"/>
        <i x="3" s="1" nd="1"/>
        <i x="2" s="1" nd="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EDCF7144-E32B-493F-82A5-288A6EAA597C}" sourceName="Rating">
  <pivotTables>
    <pivotTable tabId="9" name="PivotTable10"/>
    <pivotTable tabId="11" name="PivotTable11"/>
    <pivotTable tabId="12" name="PivotTable12"/>
    <pivotTable tabId="13" name="PivotTable13"/>
  </pivotTables>
  <data>
    <tabular pivotCacheId="672700826">
      <items count="7">
        <i x="6" s="1" nd="1"/>
        <i x="4" s="1" nd="1"/>
        <i x="2" s="1" nd="1"/>
        <i x="3" s="1" nd="1"/>
        <i x="0" s="1" nd="1"/>
        <i x="5"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Units" xr10:uid="{F0938214-144B-416F-B3B5-A6AB8C978628}" sourceName="Sales_Units">
  <pivotTables>
    <pivotTable tabId="13" name="PivotTable13"/>
    <pivotTable tabId="11" name="PivotTable11"/>
    <pivotTable tabId="12" name="PivotTable12"/>
    <pivotTable tabId="9" name="PivotTable10"/>
  </pivotTables>
  <data>
    <tabular pivotCacheId="672700826">
      <items count="20">
        <i x="11"/>
        <i x="14" nd="1"/>
        <i x="13" s="1" nd="1"/>
        <i x="15" nd="1"/>
        <i x="12" nd="1"/>
        <i x="7" nd="1"/>
        <i x="6" nd="1"/>
        <i x="0" nd="1"/>
        <i x="5" nd="1"/>
        <i x="9" nd="1"/>
        <i x="3" nd="1"/>
        <i x="8" nd="1"/>
        <i x="1" nd="1"/>
        <i x="16" nd="1"/>
        <i x="4" nd="1"/>
        <i x="10" nd="1"/>
        <i x="18" nd="1"/>
        <i x="17" nd="1"/>
        <i x="19"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_GB" xr10:uid="{311ACBA0-65D7-4A75-820F-DEC69CC5C8B3}" sourceName="RAM_GB">
  <pivotTables>
    <pivotTable tabId="12" name="PivotTable12"/>
    <pivotTable tabId="11" name="PivotTable11"/>
    <pivotTable tabId="13" name="PivotTable13"/>
    <pivotTable tabId="9" name="PivotTable10"/>
  </pivotTables>
  <data>
    <tabular pivotCacheId="672700826">
      <items count="4">
        <i x="2"/>
        <i x="0"/>
        <i x="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era_MP" xr10:uid="{6A49DBBC-624B-441D-9674-7F47DDF12A44}" cache="Slicer_Camera_MP" caption="Camera_MP" style="SlicerStyleDark2" rowHeight="241300"/>
  <slicer name="Rating" xr10:uid="{B74C3A76-F613-4B20-9A54-5B85C6CF595C}" cache="Slicer_Rating" caption="Rating" style="SlicerStyleLight2" rowHeight="241300"/>
  <slicer name="Sales_Units" xr10:uid="{9B3CE074-64A8-4635-84CD-E7B7F6F4C251}" cache="Slicer_Sales_Units" caption="Sales_Units" style="SlicerStyleLight6" rowHeight="241300"/>
  <slicer name="RAM_GB" xr10:uid="{9F84EAD3-3D2B-4980-9193-5CBA6FB0C8D6}" cache="Slicer_RAM_GB" caption="RAM_GB"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43BE-F86F-42B4-924C-00A767195868}">
  <dimension ref="A3:F11"/>
  <sheetViews>
    <sheetView workbookViewId="0">
      <selection activeCell="F11" sqref="F11"/>
    </sheetView>
  </sheetViews>
  <sheetFormatPr defaultRowHeight="15" x14ac:dyDescent="0.25"/>
  <cols>
    <col min="1" max="1" width="13.140625" bestFit="1" customWidth="1"/>
    <col min="2" max="2" width="16.28515625" bestFit="1" customWidth="1"/>
    <col min="3" max="3" width="14.7109375" bestFit="1" customWidth="1"/>
  </cols>
  <sheetData>
    <row r="3" spans="1:6" x14ac:dyDescent="0.25">
      <c r="A3" s="3" t="s">
        <v>46</v>
      </c>
      <c r="B3" t="s">
        <v>48</v>
      </c>
      <c r="C3" t="s">
        <v>54</v>
      </c>
    </row>
    <row r="4" spans="1:6" x14ac:dyDescent="0.25">
      <c r="A4" s="4" t="s">
        <v>47</v>
      </c>
      <c r="B4" s="5"/>
      <c r="C4" s="5"/>
    </row>
    <row r="11" spans="1:6" x14ac:dyDescent="0.25">
      <c r="F11">
        <f>AVERAGE(Sheet1!C:C)</f>
        <v>36641.857142857145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0E84-96FC-40E5-B56D-CAC3B6E52E15}">
  <dimension ref="D3:N18"/>
  <sheetViews>
    <sheetView tabSelected="1" workbookViewId="0">
      <selection activeCell="P2" sqref="P2"/>
    </sheetView>
  </sheetViews>
  <sheetFormatPr defaultRowHeight="15" x14ac:dyDescent="0.25"/>
  <cols>
    <col min="1" max="16384" width="9.140625" style="6"/>
  </cols>
  <sheetData>
    <row r="3" spans="7:14" x14ac:dyDescent="0.25">
      <c r="G3" s="8" t="s">
        <v>56</v>
      </c>
      <c r="H3" s="9"/>
      <c r="I3" s="9"/>
      <c r="J3" s="9"/>
      <c r="K3" s="9"/>
      <c r="L3" s="9"/>
      <c r="M3" s="9"/>
      <c r="N3" s="9"/>
    </row>
    <row r="4" spans="7:14" x14ac:dyDescent="0.25">
      <c r="G4" s="9"/>
      <c r="H4" s="9"/>
      <c r="I4" s="9"/>
      <c r="J4" s="9"/>
      <c r="K4" s="9"/>
      <c r="L4" s="9"/>
      <c r="M4" s="9"/>
      <c r="N4" s="9"/>
    </row>
    <row r="5" spans="7:14" x14ac:dyDescent="0.25">
      <c r="G5" s="9"/>
      <c r="H5" s="9"/>
      <c r="I5" s="9"/>
      <c r="J5" s="9"/>
      <c r="K5" s="9"/>
      <c r="L5" s="9"/>
      <c r="M5" s="9"/>
      <c r="N5" s="9"/>
    </row>
    <row r="18" spans="4:4" x14ac:dyDescent="0.25">
      <c r="D18" s="7"/>
    </row>
  </sheetData>
  <dataConsolidate/>
  <mergeCells count="1">
    <mergeCell ref="G3:N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1A108-9C6C-47EE-97EC-6CA21F33EA7D}">
  <dimension ref="A3:C4"/>
  <sheetViews>
    <sheetView workbookViewId="0">
      <selection activeCell="B8" sqref="A3:C12"/>
    </sheetView>
  </sheetViews>
  <sheetFormatPr defaultRowHeight="15" x14ac:dyDescent="0.25"/>
  <cols>
    <col min="1" max="1" width="13.140625" bestFit="1" customWidth="1"/>
    <col min="2" max="2" width="19.5703125" bestFit="1" customWidth="1"/>
    <col min="3" max="3" width="17" bestFit="1" customWidth="1"/>
  </cols>
  <sheetData>
    <row r="3" spans="1:3" x14ac:dyDescent="0.25">
      <c r="A3" s="3" t="s">
        <v>46</v>
      </c>
      <c r="B3" t="s">
        <v>55</v>
      </c>
      <c r="C3" t="s">
        <v>51</v>
      </c>
    </row>
    <row r="4" spans="1:3" x14ac:dyDescent="0.25">
      <c r="A4" s="4" t="s">
        <v>47</v>
      </c>
      <c r="B4" s="5"/>
      <c r="C4"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B5A5E-87C6-4CEA-97F8-7D9B38EA05C0}">
  <dimension ref="A3:C4"/>
  <sheetViews>
    <sheetView workbookViewId="0">
      <selection activeCell="C4" sqref="C4"/>
    </sheetView>
  </sheetViews>
  <sheetFormatPr defaultRowHeight="15" x14ac:dyDescent="0.25"/>
  <cols>
    <col min="1" max="1" width="13.140625" bestFit="1" customWidth="1"/>
    <col min="2" max="2" width="20.85546875" bestFit="1" customWidth="1"/>
    <col min="3" max="3" width="20" bestFit="1" customWidth="1"/>
  </cols>
  <sheetData>
    <row r="3" spans="1:3" x14ac:dyDescent="0.25">
      <c r="A3" s="3" t="s">
        <v>46</v>
      </c>
      <c r="B3" t="s">
        <v>52</v>
      </c>
      <c r="C3" t="s">
        <v>53</v>
      </c>
    </row>
    <row r="4" spans="1:3" x14ac:dyDescent="0.25">
      <c r="A4" s="4" t="s">
        <v>47</v>
      </c>
      <c r="B4" s="5"/>
      <c r="C4"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E661F-EFAA-4A48-99F3-F27589C552FA}">
  <dimension ref="A3:C4"/>
  <sheetViews>
    <sheetView workbookViewId="0">
      <selection activeCell="A9" sqref="A3:C12"/>
    </sheetView>
  </sheetViews>
  <sheetFormatPr defaultRowHeight="15" x14ac:dyDescent="0.25"/>
  <cols>
    <col min="1" max="1" width="13.140625" bestFit="1" customWidth="1"/>
    <col min="2" max="2" width="19.5703125" bestFit="1" customWidth="1"/>
    <col min="3" max="3" width="19.42578125" bestFit="1" customWidth="1"/>
  </cols>
  <sheetData>
    <row r="3" spans="1:3" x14ac:dyDescent="0.25">
      <c r="A3" s="3" t="s">
        <v>46</v>
      </c>
      <c r="B3" t="s">
        <v>50</v>
      </c>
      <c r="C3" t="s">
        <v>49</v>
      </c>
    </row>
    <row r="4" spans="1:3" x14ac:dyDescent="0.25">
      <c r="A4" s="4" t="s">
        <v>47</v>
      </c>
      <c r="B4" s="5"/>
      <c r="C4"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6EE48-FF07-46C8-B093-F2BAE28C9239}">
  <dimension ref="A1:P29"/>
  <sheetViews>
    <sheetView workbookViewId="0">
      <selection activeCell="N11" sqref="N11"/>
    </sheetView>
  </sheetViews>
  <sheetFormatPr defaultRowHeight="15" x14ac:dyDescent="0.25"/>
  <sheetData>
    <row r="1" spans="1:16" ht="30" x14ac:dyDescent="0.25">
      <c r="A1" s="1" t="s">
        <v>0</v>
      </c>
      <c r="B1" s="1" t="s">
        <v>1</v>
      </c>
      <c r="C1" s="1" t="s">
        <v>2</v>
      </c>
      <c r="D1" s="1" t="s">
        <v>3</v>
      </c>
      <c r="E1" s="1" t="s">
        <v>4</v>
      </c>
      <c r="F1" s="1" t="s">
        <v>5</v>
      </c>
      <c r="G1" s="1" t="s">
        <v>6</v>
      </c>
      <c r="H1" s="1" t="s">
        <v>7</v>
      </c>
      <c r="I1" s="1" t="s">
        <v>8</v>
      </c>
      <c r="J1" s="1" t="s">
        <v>9</v>
      </c>
    </row>
    <row r="2" spans="1:16" ht="30" x14ac:dyDescent="0.25">
      <c r="A2" s="2" t="s">
        <v>10</v>
      </c>
      <c r="B2" s="2" t="s">
        <v>11</v>
      </c>
      <c r="C2" s="2">
        <v>69999</v>
      </c>
      <c r="D2" s="2">
        <v>8</v>
      </c>
      <c r="E2" s="2">
        <v>128</v>
      </c>
      <c r="F2" s="2">
        <v>4000</v>
      </c>
      <c r="G2" s="2">
        <v>64</v>
      </c>
      <c r="H2" s="2">
        <v>4.5</v>
      </c>
      <c r="I2" s="2">
        <v>15000</v>
      </c>
      <c r="J2" s="2">
        <v>2021</v>
      </c>
    </row>
    <row r="3" spans="1:16" ht="30" x14ac:dyDescent="0.25">
      <c r="A3" s="2" t="s">
        <v>12</v>
      </c>
      <c r="B3" s="2" t="s">
        <v>13</v>
      </c>
      <c r="C3" s="2">
        <v>79999</v>
      </c>
      <c r="D3" s="2">
        <v>6</v>
      </c>
      <c r="E3" s="2">
        <v>128</v>
      </c>
      <c r="F3" s="2">
        <v>3240</v>
      </c>
      <c r="G3" s="2">
        <v>12</v>
      </c>
      <c r="H3" s="2">
        <v>4.7</v>
      </c>
      <c r="I3" s="2">
        <v>20000</v>
      </c>
      <c r="J3" s="2">
        <v>2021</v>
      </c>
      <c r="M3">
        <f xml:space="preserve"> MAX(H:H)</f>
        <v>4.7</v>
      </c>
    </row>
    <row r="4" spans="1:16" ht="30" x14ac:dyDescent="0.25">
      <c r="A4" s="2" t="s">
        <v>14</v>
      </c>
      <c r="B4" s="2" t="s">
        <v>15</v>
      </c>
      <c r="C4" s="2">
        <v>14999</v>
      </c>
      <c r="D4" s="2">
        <v>6</v>
      </c>
      <c r="E4" s="2">
        <v>128</v>
      </c>
      <c r="F4" s="2">
        <v>5000</v>
      </c>
      <c r="G4" s="2">
        <v>50</v>
      </c>
      <c r="H4" s="2">
        <v>4.3</v>
      </c>
      <c r="I4" s="2">
        <v>35000</v>
      </c>
      <c r="J4" s="2">
        <v>2022</v>
      </c>
      <c r="M4" t="s">
        <v>57</v>
      </c>
    </row>
    <row r="5" spans="1:16" ht="30" x14ac:dyDescent="0.25">
      <c r="A5" s="2" t="s">
        <v>16</v>
      </c>
      <c r="B5" s="2" t="s">
        <v>17</v>
      </c>
      <c r="C5" s="2">
        <v>24999</v>
      </c>
      <c r="D5" s="2">
        <v>8</v>
      </c>
      <c r="E5" s="2">
        <v>128</v>
      </c>
      <c r="F5" s="2">
        <v>4500</v>
      </c>
      <c r="G5" s="2">
        <v>64</v>
      </c>
      <c r="H5" s="2">
        <v>4.4000000000000004</v>
      </c>
      <c r="I5" s="2">
        <v>18000</v>
      </c>
      <c r="J5" s="2">
        <v>2022</v>
      </c>
      <c r="M5">
        <f>AVERAGE(F:F)</f>
        <v>4380.0714285714284</v>
      </c>
      <c r="P5">
        <f>AVERAGE(F:F)</f>
        <v>4380.0714285714284</v>
      </c>
    </row>
    <row r="6" spans="1:16" x14ac:dyDescent="0.25">
      <c r="A6" s="2" t="s">
        <v>18</v>
      </c>
      <c r="B6" s="2" t="s">
        <v>19</v>
      </c>
      <c r="C6" s="2">
        <v>12999</v>
      </c>
      <c r="D6" s="2">
        <v>4</v>
      </c>
      <c r="E6" s="2">
        <v>64</v>
      </c>
      <c r="F6" s="2">
        <v>5000</v>
      </c>
      <c r="G6" s="2">
        <v>50</v>
      </c>
      <c r="H6" s="2">
        <v>4.2</v>
      </c>
      <c r="I6" s="2">
        <v>22000</v>
      </c>
      <c r="J6" s="2">
        <v>2022</v>
      </c>
    </row>
    <row r="7" spans="1:16" x14ac:dyDescent="0.25">
      <c r="A7" s="2" t="s">
        <v>20</v>
      </c>
      <c r="B7" s="2" t="s">
        <v>21</v>
      </c>
      <c r="C7" s="2">
        <v>29999</v>
      </c>
      <c r="D7" s="2">
        <v>8</v>
      </c>
      <c r="E7" s="2">
        <v>128</v>
      </c>
      <c r="F7" s="2">
        <v>4200</v>
      </c>
      <c r="G7" s="2">
        <v>64</v>
      </c>
      <c r="H7" s="2">
        <v>4.3</v>
      </c>
      <c r="I7" s="2">
        <v>16000</v>
      </c>
      <c r="J7" s="2">
        <v>2022</v>
      </c>
    </row>
    <row r="8" spans="1:16" x14ac:dyDescent="0.25">
      <c r="A8" s="2" t="s">
        <v>22</v>
      </c>
      <c r="B8" s="2" t="s">
        <v>23</v>
      </c>
      <c r="C8" s="2">
        <v>28999</v>
      </c>
      <c r="D8" s="2">
        <v>8</v>
      </c>
      <c r="E8" s="2">
        <v>128</v>
      </c>
      <c r="F8" s="2">
        <v>4500</v>
      </c>
      <c r="G8" s="2">
        <v>64</v>
      </c>
      <c r="H8" s="2">
        <v>4.4000000000000004</v>
      </c>
      <c r="I8" s="2">
        <v>14000</v>
      </c>
      <c r="J8" s="2">
        <v>2022</v>
      </c>
      <c r="O8">
        <f>AVERAGE(E:E)</f>
        <v>137.14285714285714</v>
      </c>
    </row>
    <row r="9" spans="1:16" x14ac:dyDescent="0.25">
      <c r="A9" s="2" t="s">
        <v>24</v>
      </c>
      <c r="B9" s="2" t="s">
        <v>25</v>
      </c>
      <c r="C9" s="2">
        <v>27999</v>
      </c>
      <c r="D9" s="2">
        <v>8</v>
      </c>
      <c r="E9" s="2">
        <v>128</v>
      </c>
      <c r="F9" s="2">
        <v>4020</v>
      </c>
      <c r="G9" s="2">
        <v>50</v>
      </c>
      <c r="H9" s="2">
        <v>4.3</v>
      </c>
      <c r="I9" s="2">
        <v>12000</v>
      </c>
      <c r="J9" s="2">
        <v>2022</v>
      </c>
    </row>
    <row r="10" spans="1:16" ht="30" x14ac:dyDescent="0.25">
      <c r="A10" s="2" t="s">
        <v>10</v>
      </c>
      <c r="B10" s="2" t="s">
        <v>26</v>
      </c>
      <c r="C10" s="2">
        <v>25999</v>
      </c>
      <c r="D10" s="2">
        <v>6</v>
      </c>
      <c r="E10" s="2">
        <v>128</v>
      </c>
      <c r="F10" s="2">
        <v>4500</v>
      </c>
      <c r="G10" s="2">
        <v>64</v>
      </c>
      <c r="H10" s="2">
        <v>4.4000000000000004</v>
      </c>
      <c r="I10" s="2">
        <v>19000</v>
      </c>
      <c r="J10" s="2">
        <v>2021</v>
      </c>
      <c r="N10">
        <f>AVERAGE(D:D)</f>
        <v>6.8571428571428568</v>
      </c>
    </row>
    <row r="11" spans="1:16" ht="30" x14ac:dyDescent="0.25">
      <c r="A11" s="2" t="s">
        <v>12</v>
      </c>
      <c r="B11" s="2" t="s">
        <v>27</v>
      </c>
      <c r="C11" s="2">
        <v>59999</v>
      </c>
      <c r="D11" s="2">
        <v>4</v>
      </c>
      <c r="E11" s="2">
        <v>128</v>
      </c>
      <c r="F11" s="2">
        <v>2815</v>
      </c>
      <c r="G11" s="2">
        <v>12</v>
      </c>
      <c r="H11" s="2">
        <v>4.5999999999999996</v>
      </c>
      <c r="I11" s="2">
        <v>17000</v>
      </c>
      <c r="J11" s="2">
        <v>2020</v>
      </c>
    </row>
    <row r="12" spans="1:16" ht="30" x14ac:dyDescent="0.25">
      <c r="A12" s="2" t="s">
        <v>14</v>
      </c>
      <c r="B12" s="2" t="s">
        <v>28</v>
      </c>
      <c r="C12" s="2">
        <v>18999</v>
      </c>
      <c r="D12" s="2">
        <v>6</v>
      </c>
      <c r="E12" s="2">
        <v>128</v>
      </c>
      <c r="F12" s="2">
        <v>5000</v>
      </c>
      <c r="G12" s="2">
        <v>64</v>
      </c>
      <c r="H12" s="2">
        <v>4.3</v>
      </c>
      <c r="I12" s="2">
        <v>25000</v>
      </c>
      <c r="J12" s="2">
        <v>2022</v>
      </c>
    </row>
    <row r="13" spans="1:16" x14ac:dyDescent="0.25">
      <c r="A13" s="2" t="s">
        <v>16</v>
      </c>
      <c r="B13" s="2" t="s">
        <v>29</v>
      </c>
      <c r="C13" s="2">
        <v>38999</v>
      </c>
      <c r="D13" s="2">
        <v>12</v>
      </c>
      <c r="E13" s="2">
        <v>256</v>
      </c>
      <c r="F13" s="2">
        <v>5000</v>
      </c>
      <c r="G13" s="2">
        <v>50</v>
      </c>
      <c r="H13" s="2">
        <v>4.5</v>
      </c>
      <c r="I13" s="2">
        <v>13000</v>
      </c>
      <c r="J13" s="2">
        <v>2022</v>
      </c>
    </row>
    <row r="14" spans="1:16" x14ac:dyDescent="0.25">
      <c r="A14" s="2" t="s">
        <v>18</v>
      </c>
      <c r="B14" s="2" t="s">
        <v>30</v>
      </c>
      <c r="C14" s="2">
        <v>36999</v>
      </c>
      <c r="D14" s="2">
        <v>8</v>
      </c>
      <c r="E14" s="2">
        <v>256</v>
      </c>
      <c r="F14" s="2">
        <v>5000</v>
      </c>
      <c r="G14" s="2">
        <v>50</v>
      </c>
      <c r="H14" s="2">
        <v>4.4000000000000004</v>
      </c>
      <c r="I14" s="2">
        <v>11000</v>
      </c>
      <c r="J14" s="2">
        <v>2022</v>
      </c>
    </row>
    <row r="15" spans="1:16" x14ac:dyDescent="0.25">
      <c r="A15" s="2" t="s">
        <v>20</v>
      </c>
      <c r="B15" s="2" t="s">
        <v>31</v>
      </c>
      <c r="C15" s="2">
        <v>54999</v>
      </c>
      <c r="D15" s="2">
        <v>8</v>
      </c>
      <c r="E15" s="2">
        <v>128</v>
      </c>
      <c r="F15" s="2">
        <v>4500</v>
      </c>
      <c r="G15" s="2">
        <v>50</v>
      </c>
      <c r="H15" s="2">
        <v>4.5</v>
      </c>
      <c r="I15" s="2">
        <v>9000</v>
      </c>
      <c r="J15" s="2">
        <v>2022</v>
      </c>
    </row>
    <row r="16" spans="1:16" x14ac:dyDescent="0.25">
      <c r="A16" s="2" t="s">
        <v>22</v>
      </c>
      <c r="B16" s="2" t="s">
        <v>32</v>
      </c>
      <c r="C16" s="2">
        <v>65999</v>
      </c>
      <c r="D16" s="2">
        <v>8</v>
      </c>
      <c r="E16" s="2">
        <v>256</v>
      </c>
      <c r="F16" s="2">
        <v>4800</v>
      </c>
      <c r="G16" s="2">
        <v>50</v>
      </c>
      <c r="H16" s="2">
        <v>4.5999999999999996</v>
      </c>
      <c r="I16" s="2">
        <v>8000</v>
      </c>
      <c r="J16" s="2">
        <v>2022</v>
      </c>
    </row>
    <row r="17" spans="1:10" x14ac:dyDescent="0.25">
      <c r="A17" s="2" t="s">
        <v>24</v>
      </c>
      <c r="B17" s="2" t="s">
        <v>33</v>
      </c>
      <c r="C17" s="2">
        <v>21999</v>
      </c>
      <c r="D17" s="2">
        <v>6</v>
      </c>
      <c r="E17" s="2">
        <v>128</v>
      </c>
      <c r="F17" s="2">
        <v>5000</v>
      </c>
      <c r="G17" s="2">
        <v>50</v>
      </c>
      <c r="H17" s="2">
        <v>4.3</v>
      </c>
      <c r="I17" s="2">
        <v>14000</v>
      </c>
      <c r="J17" s="2">
        <v>2022</v>
      </c>
    </row>
    <row r="18" spans="1:10" ht="30" x14ac:dyDescent="0.25">
      <c r="A18" s="2" t="s">
        <v>10</v>
      </c>
      <c r="B18" s="2" t="s">
        <v>34</v>
      </c>
      <c r="C18" s="2">
        <v>72999</v>
      </c>
      <c r="D18" s="2">
        <v>8</v>
      </c>
      <c r="E18" s="2">
        <v>256</v>
      </c>
      <c r="F18" s="2">
        <v>3700</v>
      </c>
      <c r="G18" s="2">
        <v>50</v>
      </c>
      <c r="H18" s="2">
        <v>4.5999999999999996</v>
      </c>
      <c r="I18" s="2">
        <v>10000</v>
      </c>
      <c r="J18" s="2">
        <v>2022</v>
      </c>
    </row>
    <row r="19" spans="1:10" ht="30" x14ac:dyDescent="0.25">
      <c r="A19" s="2" t="s">
        <v>12</v>
      </c>
      <c r="B19" s="2" t="s">
        <v>35</v>
      </c>
      <c r="C19" s="2">
        <v>89999</v>
      </c>
      <c r="D19" s="2">
        <v>6</v>
      </c>
      <c r="E19" s="2">
        <v>128</v>
      </c>
      <c r="F19" s="2">
        <v>3279</v>
      </c>
      <c r="G19" s="2">
        <v>12</v>
      </c>
      <c r="H19" s="2">
        <v>4.7</v>
      </c>
      <c r="I19" s="2">
        <v>21000</v>
      </c>
      <c r="J19" s="2">
        <v>2022</v>
      </c>
    </row>
    <row r="20" spans="1:10" x14ac:dyDescent="0.25">
      <c r="A20" s="2" t="s">
        <v>14</v>
      </c>
      <c r="B20" s="2" t="s">
        <v>36</v>
      </c>
      <c r="C20" s="2">
        <v>29999</v>
      </c>
      <c r="D20" s="2">
        <v>8</v>
      </c>
      <c r="E20" s="2">
        <v>128</v>
      </c>
      <c r="F20" s="2">
        <v>4520</v>
      </c>
      <c r="G20" s="2">
        <v>48</v>
      </c>
      <c r="H20" s="2">
        <v>4.4000000000000004</v>
      </c>
      <c r="I20" s="2">
        <v>15000</v>
      </c>
      <c r="J20" s="2">
        <v>2021</v>
      </c>
    </row>
    <row r="21" spans="1:10" x14ac:dyDescent="0.25">
      <c r="A21" s="2" t="s">
        <v>16</v>
      </c>
      <c r="B21" s="2" t="s">
        <v>37</v>
      </c>
      <c r="C21" s="2">
        <v>28999</v>
      </c>
      <c r="D21" s="2">
        <v>8</v>
      </c>
      <c r="E21" s="2">
        <v>128</v>
      </c>
      <c r="F21" s="2">
        <v>4500</v>
      </c>
      <c r="G21" s="2">
        <v>50</v>
      </c>
      <c r="H21" s="2">
        <v>4.4000000000000004</v>
      </c>
      <c r="I21" s="2">
        <v>16000</v>
      </c>
      <c r="J21" s="2">
        <v>2022</v>
      </c>
    </row>
    <row r="22" spans="1:10" x14ac:dyDescent="0.25">
      <c r="A22" s="2" t="s">
        <v>18</v>
      </c>
      <c r="B22" s="2" t="s">
        <v>38</v>
      </c>
      <c r="C22" s="2">
        <v>11999</v>
      </c>
      <c r="D22" s="2">
        <v>4</v>
      </c>
      <c r="E22" s="2">
        <v>64</v>
      </c>
      <c r="F22" s="2">
        <v>5000</v>
      </c>
      <c r="G22" s="2">
        <v>50</v>
      </c>
      <c r="H22" s="2">
        <v>4.0999999999999996</v>
      </c>
      <c r="I22" s="2">
        <v>30000</v>
      </c>
      <c r="J22" s="2">
        <v>2022</v>
      </c>
    </row>
    <row r="23" spans="1:10" x14ac:dyDescent="0.25">
      <c r="A23" s="2" t="s">
        <v>20</v>
      </c>
      <c r="B23" s="2" t="s">
        <v>39</v>
      </c>
      <c r="C23" s="2">
        <v>20999</v>
      </c>
      <c r="D23" s="2">
        <v>8</v>
      </c>
      <c r="E23" s="2">
        <v>128</v>
      </c>
      <c r="F23" s="2">
        <v>4050</v>
      </c>
      <c r="G23" s="2">
        <v>50</v>
      </c>
      <c r="H23" s="2">
        <v>4.2</v>
      </c>
      <c r="I23" s="2">
        <v>17000</v>
      </c>
      <c r="J23" s="2">
        <v>2022</v>
      </c>
    </row>
    <row r="24" spans="1:10" x14ac:dyDescent="0.25">
      <c r="A24" s="2" t="s">
        <v>22</v>
      </c>
      <c r="B24" s="2" t="s">
        <v>40</v>
      </c>
      <c r="C24" s="2">
        <v>17999</v>
      </c>
      <c r="D24" s="2">
        <v>6</v>
      </c>
      <c r="E24" s="2">
        <v>128</v>
      </c>
      <c r="F24" s="2">
        <v>5000</v>
      </c>
      <c r="G24" s="2">
        <v>13</v>
      </c>
      <c r="H24" s="2">
        <v>4.0999999999999996</v>
      </c>
      <c r="I24" s="2">
        <v>19000</v>
      </c>
      <c r="J24" s="2">
        <v>2022</v>
      </c>
    </row>
    <row r="25" spans="1:10" x14ac:dyDescent="0.25">
      <c r="A25" s="2" t="s">
        <v>24</v>
      </c>
      <c r="B25" s="2" t="s">
        <v>41</v>
      </c>
      <c r="C25" s="2">
        <v>29999</v>
      </c>
      <c r="D25" s="2">
        <v>8</v>
      </c>
      <c r="E25" s="2">
        <v>128</v>
      </c>
      <c r="F25" s="2">
        <v>4000</v>
      </c>
      <c r="G25" s="2">
        <v>108</v>
      </c>
      <c r="H25" s="2">
        <v>4.3</v>
      </c>
      <c r="I25" s="2">
        <v>10000</v>
      </c>
      <c r="J25" s="2">
        <v>2021</v>
      </c>
    </row>
    <row r="26" spans="1:10" ht="30" x14ac:dyDescent="0.25">
      <c r="A26" s="2" t="s">
        <v>10</v>
      </c>
      <c r="B26" s="2" t="s">
        <v>42</v>
      </c>
      <c r="C26" s="2">
        <v>14999</v>
      </c>
      <c r="D26" s="2">
        <v>6</v>
      </c>
      <c r="E26" s="2">
        <v>128</v>
      </c>
      <c r="F26" s="2">
        <v>6000</v>
      </c>
      <c r="G26" s="2">
        <v>64</v>
      </c>
      <c r="H26" s="2">
        <v>4.2</v>
      </c>
      <c r="I26" s="2">
        <v>27000</v>
      </c>
      <c r="J26" s="2">
        <v>2021</v>
      </c>
    </row>
    <row r="27" spans="1:10" ht="30" x14ac:dyDescent="0.25">
      <c r="A27" s="2" t="s">
        <v>12</v>
      </c>
      <c r="B27" s="2" t="s">
        <v>43</v>
      </c>
      <c r="C27" s="2">
        <v>39999</v>
      </c>
      <c r="D27" s="2">
        <v>4</v>
      </c>
      <c r="E27" s="2">
        <v>64</v>
      </c>
      <c r="F27" s="2">
        <v>2018</v>
      </c>
      <c r="G27" s="2">
        <v>12</v>
      </c>
      <c r="H27" s="2">
        <v>4.3</v>
      </c>
      <c r="I27" s="2">
        <v>9000</v>
      </c>
      <c r="J27" s="2">
        <v>2022</v>
      </c>
    </row>
    <row r="28" spans="1:10" x14ac:dyDescent="0.25">
      <c r="A28" s="2" t="s">
        <v>14</v>
      </c>
      <c r="B28" s="2" t="s">
        <v>44</v>
      </c>
      <c r="C28" s="2">
        <v>10999</v>
      </c>
      <c r="D28" s="2">
        <v>4</v>
      </c>
      <c r="E28" s="2">
        <v>64</v>
      </c>
      <c r="F28" s="2">
        <v>5000</v>
      </c>
      <c r="G28" s="2">
        <v>50</v>
      </c>
      <c r="H28" s="2">
        <v>4.0999999999999996</v>
      </c>
      <c r="I28" s="2">
        <v>32000</v>
      </c>
      <c r="J28" s="2">
        <v>2021</v>
      </c>
    </row>
    <row r="29" spans="1:10" x14ac:dyDescent="0.25">
      <c r="A29" s="2" t="s">
        <v>16</v>
      </c>
      <c r="B29" s="2" t="s">
        <v>45</v>
      </c>
      <c r="C29" s="2">
        <v>42999</v>
      </c>
      <c r="D29" s="2">
        <v>8</v>
      </c>
      <c r="E29" s="2">
        <v>128</v>
      </c>
      <c r="F29" s="2">
        <v>4500</v>
      </c>
      <c r="G29" s="2">
        <v>50</v>
      </c>
      <c r="H29" s="2">
        <v>4.5</v>
      </c>
      <c r="I29" s="2">
        <v>8000</v>
      </c>
      <c r="J2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Sheet9</vt:lpstr>
      <vt:lpstr>dashboard</vt:lpstr>
      <vt:lpstr>Sheet11</vt:lpstr>
      <vt:lpstr>Sheet12</vt:lpstr>
      <vt:lpstr>Sheet13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2026-04-23T05:24:59Z</dcterms:created>
  <dcterms:modified xsi:type="dcterms:W3CDTF">2026-04-23T07:56:32Z</dcterms:modified>
</cp:coreProperties>
</file>